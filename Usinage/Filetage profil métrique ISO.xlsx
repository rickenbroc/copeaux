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nepar-my.sharepoint.com/personal/eric_vandenbussche_sonepar_fr/Documents/Documents/GitHub/copeaux/Usinage/"/>
    </mc:Choice>
  </mc:AlternateContent>
  <xr:revisionPtr revIDLastSave="229" documentId="8_{09716A5E-7CBC-4D10-B8C0-25887A797F0F}" xr6:coauthVersionLast="47" xr6:coauthVersionMax="47" xr10:uidLastSave="{30305132-4CC6-46C1-B1D1-8414769FE1C3}"/>
  <bookViews>
    <workbookView xWindow="-120" yWindow="-120" windowWidth="29040" windowHeight="15990" xr2:uid="{DBA86BC1-E712-4C9C-A3E6-F20D6239630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H3" i="1"/>
  <c r="G3" i="1"/>
  <c r="F3" i="1"/>
  <c r="E3" i="1"/>
  <c r="D3" i="1"/>
  <c r="C3" i="1"/>
  <c r="B3" i="1"/>
  <c r="U36" i="1"/>
  <c r="S36" i="1"/>
  <c r="V36" i="1" s="1"/>
  <c r="R36" i="1"/>
  <c r="P36" i="1"/>
  <c r="L36" i="1"/>
  <c r="O36" i="1" s="1"/>
  <c r="C36" i="1"/>
  <c r="E36" i="1" s="1"/>
  <c r="B36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8" i="1"/>
  <c r="S9" i="1"/>
  <c r="V9" i="1" s="1"/>
  <c r="S10" i="1"/>
  <c r="V10" i="1" s="1"/>
  <c r="S11" i="1"/>
  <c r="V11" i="1" s="1"/>
  <c r="S12" i="1"/>
  <c r="V12" i="1" s="1"/>
  <c r="S13" i="1"/>
  <c r="V13" i="1" s="1"/>
  <c r="S14" i="1"/>
  <c r="V14" i="1" s="1"/>
  <c r="S15" i="1"/>
  <c r="V15" i="1" s="1"/>
  <c r="S16" i="1"/>
  <c r="T16" i="1" s="1"/>
  <c r="W16" i="1" s="1"/>
  <c r="S17" i="1"/>
  <c r="T17" i="1" s="1"/>
  <c r="W17" i="1" s="1"/>
  <c r="S18" i="1"/>
  <c r="Q18" i="1" s="1"/>
  <c r="S19" i="1"/>
  <c r="Q19" i="1" s="1"/>
  <c r="S20" i="1"/>
  <c r="Q20" i="1" s="1"/>
  <c r="S21" i="1"/>
  <c r="Q21" i="1" s="1"/>
  <c r="S22" i="1"/>
  <c r="V22" i="1" s="1"/>
  <c r="S23" i="1"/>
  <c r="V23" i="1" s="1"/>
  <c r="S24" i="1"/>
  <c r="V24" i="1" s="1"/>
  <c r="S25" i="1"/>
  <c r="V25" i="1" s="1"/>
  <c r="S26" i="1"/>
  <c r="V26" i="1" s="1"/>
  <c r="S27" i="1"/>
  <c r="V27" i="1" s="1"/>
  <c r="S28" i="1"/>
  <c r="Q28" i="1" s="1"/>
  <c r="S29" i="1"/>
  <c r="Q29" i="1" s="1"/>
  <c r="S30" i="1"/>
  <c r="Q30" i="1" s="1"/>
  <c r="S31" i="1"/>
  <c r="V31" i="1" s="1"/>
  <c r="S32" i="1"/>
  <c r="Q32" i="1" s="1"/>
  <c r="S33" i="1"/>
  <c r="V33" i="1" s="1"/>
  <c r="S34" i="1"/>
  <c r="V34" i="1" s="1"/>
  <c r="S35" i="1"/>
  <c r="V35" i="1" s="1"/>
  <c r="S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8" i="1"/>
  <c r="L9" i="1"/>
  <c r="O9" i="1" s="1"/>
  <c r="L10" i="1"/>
  <c r="O10" i="1" s="1"/>
  <c r="L11" i="1"/>
  <c r="O11" i="1" s="1"/>
  <c r="L12" i="1"/>
  <c r="L13" i="1"/>
  <c r="O13" i="1" s="1"/>
  <c r="L14" i="1"/>
  <c r="O14" i="1" s="1"/>
  <c r="L15" i="1"/>
  <c r="O15" i="1" s="1"/>
  <c r="L16" i="1"/>
  <c r="L17" i="1"/>
  <c r="L18" i="1"/>
  <c r="O18" i="1" s="1"/>
  <c r="L19" i="1"/>
  <c r="O19" i="1" s="1"/>
  <c r="L20" i="1"/>
  <c r="O20" i="1" s="1"/>
  <c r="L21" i="1"/>
  <c r="O21" i="1" s="1"/>
  <c r="L22" i="1"/>
  <c r="O22" i="1" s="1"/>
  <c r="L23" i="1"/>
  <c r="O23" i="1" s="1"/>
  <c r="L24" i="1"/>
  <c r="L25" i="1"/>
  <c r="O25" i="1" s="1"/>
  <c r="L26" i="1"/>
  <c r="O26" i="1" s="1"/>
  <c r="L27" i="1"/>
  <c r="O27" i="1" s="1"/>
  <c r="L28" i="1"/>
  <c r="O28" i="1" s="1"/>
  <c r="L29" i="1"/>
  <c r="O29" i="1" s="1"/>
  <c r="L30" i="1"/>
  <c r="O30" i="1" s="1"/>
  <c r="L31" i="1"/>
  <c r="O31" i="1" s="1"/>
  <c r="L32" i="1"/>
  <c r="O32" i="1" s="1"/>
  <c r="L33" i="1"/>
  <c r="O33" i="1" s="1"/>
  <c r="L34" i="1"/>
  <c r="O34" i="1" s="1"/>
  <c r="L35" i="1"/>
  <c r="O35" i="1" s="1"/>
  <c r="L8" i="1"/>
  <c r="C9" i="1"/>
  <c r="E9" i="1" s="1"/>
  <c r="C10" i="1"/>
  <c r="E10" i="1" s="1"/>
  <c r="C11" i="1"/>
  <c r="C12" i="1"/>
  <c r="C13" i="1"/>
  <c r="E13" i="1" s="1"/>
  <c r="C14" i="1"/>
  <c r="C15" i="1"/>
  <c r="C16" i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C24" i="1"/>
  <c r="C25" i="1"/>
  <c r="C26" i="1"/>
  <c r="C27" i="1"/>
  <c r="C28" i="1"/>
  <c r="C29" i="1"/>
  <c r="E29" i="1" s="1"/>
  <c r="C30" i="1"/>
  <c r="E30" i="1" s="1"/>
  <c r="C31" i="1"/>
  <c r="E31" i="1" s="1"/>
  <c r="C32" i="1"/>
  <c r="E32" i="1" s="1"/>
  <c r="C33" i="1"/>
  <c r="C34" i="1"/>
  <c r="E34" i="1" s="1"/>
  <c r="C35" i="1"/>
  <c r="C8" i="1"/>
  <c r="G8" i="1" s="1"/>
  <c r="K8" i="1" s="1"/>
  <c r="R9" i="1"/>
  <c r="R10" i="1"/>
  <c r="R11" i="1"/>
  <c r="T11" i="1" s="1"/>
  <c r="W11" i="1" s="1"/>
  <c r="R12" i="1"/>
  <c r="T12" i="1" s="1"/>
  <c r="W12" i="1" s="1"/>
  <c r="R13" i="1"/>
  <c r="T13" i="1" s="1"/>
  <c r="W13" i="1" s="1"/>
  <c r="R14" i="1"/>
  <c r="R15" i="1"/>
  <c r="R16" i="1"/>
  <c r="R17" i="1"/>
  <c r="R18" i="1"/>
  <c r="R19" i="1"/>
  <c r="R20" i="1"/>
  <c r="T20" i="1" s="1"/>
  <c r="W20" i="1" s="1"/>
  <c r="R21" i="1"/>
  <c r="R22" i="1"/>
  <c r="R23" i="1"/>
  <c r="T23" i="1" s="1"/>
  <c r="W23" i="1" s="1"/>
  <c r="R24" i="1"/>
  <c r="T24" i="1" s="1"/>
  <c r="W24" i="1" s="1"/>
  <c r="R25" i="1"/>
  <c r="T25" i="1" s="1"/>
  <c r="W25" i="1" s="1"/>
  <c r="R26" i="1"/>
  <c r="R27" i="1"/>
  <c r="R28" i="1"/>
  <c r="R29" i="1"/>
  <c r="R30" i="1"/>
  <c r="R31" i="1"/>
  <c r="R32" i="1"/>
  <c r="R33" i="1"/>
  <c r="R34" i="1"/>
  <c r="R35" i="1"/>
  <c r="T35" i="1" s="1"/>
  <c r="W35" i="1" s="1"/>
  <c r="R8" i="1"/>
  <c r="T8" i="1" s="1"/>
  <c r="W8" i="1" s="1"/>
  <c r="Q17" i="1"/>
  <c r="O12" i="1"/>
  <c r="O16" i="1"/>
  <c r="O17" i="1"/>
  <c r="O24" i="1"/>
  <c r="O8" i="1"/>
  <c r="Q13" i="1"/>
  <c r="Q14" i="1"/>
  <c r="Q15" i="1"/>
  <c r="Q16" i="1"/>
  <c r="Q26" i="1"/>
  <c r="Q27" i="1"/>
  <c r="E11" i="1"/>
  <c r="E12" i="1"/>
  <c r="E14" i="1"/>
  <c r="E15" i="1"/>
  <c r="E16" i="1"/>
  <c r="E23" i="1"/>
  <c r="E24" i="1"/>
  <c r="E25" i="1"/>
  <c r="E26" i="1"/>
  <c r="E27" i="1"/>
  <c r="E28" i="1"/>
  <c r="E33" i="1"/>
  <c r="E35" i="1"/>
  <c r="G36" i="1" l="1"/>
  <c r="K36" i="1" s="1"/>
  <c r="I36" i="1"/>
  <c r="D4" i="1"/>
  <c r="E4" i="1"/>
  <c r="Q36" i="1"/>
  <c r="T36" i="1"/>
  <c r="W36" i="1" s="1"/>
  <c r="V30" i="1"/>
  <c r="T34" i="1"/>
  <c r="W34" i="1" s="1"/>
  <c r="T22" i="1"/>
  <c r="W22" i="1" s="1"/>
  <c r="T10" i="1"/>
  <c r="W10" i="1" s="1"/>
  <c r="V29" i="1"/>
  <c r="T33" i="1"/>
  <c r="W33" i="1" s="1"/>
  <c r="T21" i="1"/>
  <c r="W21" i="1" s="1"/>
  <c r="T9" i="1"/>
  <c r="W9" i="1" s="1"/>
  <c r="V18" i="1"/>
  <c r="T32" i="1"/>
  <c r="W32" i="1" s="1"/>
  <c r="V17" i="1"/>
  <c r="T31" i="1"/>
  <c r="W31" i="1" s="1"/>
  <c r="T19" i="1"/>
  <c r="T30" i="1"/>
  <c r="W30" i="1" s="1"/>
  <c r="T18" i="1"/>
  <c r="W18" i="1" s="1"/>
  <c r="T29" i="1"/>
  <c r="W29" i="1" s="1"/>
  <c r="C4" i="1"/>
  <c r="T28" i="1"/>
  <c r="W28" i="1" s="1"/>
  <c r="Q31" i="1"/>
  <c r="T27" i="1"/>
  <c r="W27" i="1" s="1"/>
  <c r="T15" i="1"/>
  <c r="W15" i="1" s="1"/>
  <c r="T26" i="1"/>
  <c r="W26" i="1" s="1"/>
  <c r="T14" i="1"/>
  <c r="W14" i="1" s="1"/>
  <c r="V28" i="1"/>
  <c r="V16" i="1"/>
  <c r="Q9" i="1"/>
  <c r="V8" i="1"/>
  <c r="Q33" i="1"/>
  <c r="V21" i="1"/>
  <c r="V32" i="1"/>
  <c r="V20" i="1"/>
  <c r="V19" i="1"/>
  <c r="G18" i="1"/>
  <c r="K18" i="1" s="1"/>
  <c r="I35" i="1"/>
  <c r="Q8" i="1"/>
  <c r="I32" i="1"/>
  <c r="Q25" i="1"/>
  <c r="I23" i="1"/>
  <c r="Q24" i="1"/>
  <c r="I20" i="1"/>
  <c r="Q11" i="1"/>
  <c r="I9" i="1"/>
  <c r="G32" i="1"/>
  <c r="K32" i="1" s="1"/>
  <c r="G17" i="1"/>
  <c r="K17" i="1" s="1"/>
  <c r="Q22" i="1"/>
  <c r="Q12" i="1"/>
  <c r="G19" i="1"/>
  <c r="K19" i="1" s="1"/>
  <c r="I21" i="1"/>
  <c r="I8" i="1"/>
  <c r="I18" i="1"/>
  <c r="Q10" i="1"/>
  <c r="I12" i="1"/>
  <c r="Q35" i="1"/>
  <c r="I34" i="1"/>
  <c r="I11" i="1"/>
  <c r="Q34" i="1"/>
  <c r="I33" i="1"/>
  <c r="I10" i="1"/>
  <c r="G31" i="1"/>
  <c r="K31" i="1" s="1"/>
  <c r="Q23" i="1"/>
  <c r="G30" i="1"/>
  <c r="K30" i="1" s="1"/>
  <c r="I24" i="1"/>
  <c r="I19" i="1"/>
  <c r="I31" i="1"/>
  <c r="G29" i="1"/>
  <c r="K29" i="1" s="1"/>
  <c r="G20" i="1"/>
  <c r="K20" i="1" s="1"/>
  <c r="I22" i="1"/>
  <c r="G27" i="1"/>
  <c r="K27" i="1" s="1"/>
  <c r="G15" i="1"/>
  <c r="K15" i="1" s="1"/>
  <c r="G28" i="1"/>
  <c r="K28" i="1" s="1"/>
  <c r="G26" i="1"/>
  <c r="K26" i="1" s="1"/>
  <c r="I30" i="1"/>
  <c r="G14" i="1"/>
  <c r="K14" i="1" s="1"/>
  <c r="G25" i="1"/>
  <c r="K25" i="1" s="1"/>
  <c r="G13" i="1"/>
  <c r="K13" i="1" s="1"/>
  <c r="I29" i="1"/>
  <c r="I17" i="1"/>
  <c r="I28" i="1"/>
  <c r="G35" i="1"/>
  <c r="K35" i="1" s="1"/>
  <c r="G23" i="1"/>
  <c r="K23" i="1" s="1"/>
  <c r="G11" i="1"/>
  <c r="K11" i="1" s="1"/>
  <c r="I27" i="1"/>
  <c r="I15" i="1"/>
  <c r="G24" i="1"/>
  <c r="K24" i="1" s="1"/>
  <c r="G34" i="1"/>
  <c r="K34" i="1" s="1"/>
  <c r="G22" i="1"/>
  <c r="K22" i="1" s="1"/>
  <c r="G10" i="1"/>
  <c r="K10" i="1" s="1"/>
  <c r="I26" i="1"/>
  <c r="I14" i="1"/>
  <c r="G16" i="1"/>
  <c r="K16" i="1" s="1"/>
  <c r="G12" i="1"/>
  <c r="K12" i="1" s="1"/>
  <c r="I16" i="1"/>
  <c r="G33" i="1"/>
  <c r="K33" i="1" s="1"/>
  <c r="G21" i="1"/>
  <c r="K21" i="1" s="1"/>
  <c r="G9" i="1"/>
  <c r="K9" i="1" s="1"/>
  <c r="I25" i="1"/>
  <c r="I13" i="1"/>
  <c r="E8" i="1"/>
  <c r="W19" i="1" l="1"/>
  <c r="K3" i="1" s="1"/>
</calcChain>
</file>

<file path=xl/sharedStrings.xml><?xml version="1.0" encoding="utf-8"?>
<sst xmlns="http://schemas.openxmlformats.org/spreadsheetml/2006/main" count="44" uniqueCount="37">
  <si>
    <t>d ou D</t>
  </si>
  <si>
    <t>max</t>
  </si>
  <si>
    <t>min</t>
  </si>
  <si>
    <t>D1</t>
  </si>
  <si>
    <t xml:space="preserve">max </t>
  </si>
  <si>
    <t>H</t>
  </si>
  <si>
    <t>d3</t>
  </si>
  <si>
    <t>tolérance sur d2 vis</t>
  </si>
  <si>
    <t>tolérance sur D2 écrou</t>
  </si>
  <si>
    <t>PROFIL métrique ISO</t>
  </si>
  <si>
    <t>éviter l'emploi</t>
  </si>
  <si>
    <t>Filetage à pas gros (boulonnerie et autres applications courantes) - Tolérance 6H/6g (µm)</t>
  </si>
  <si>
    <t xml:space="preserve">d2 = D2
</t>
  </si>
  <si>
    <t>rayon fond de filet vis</t>
  </si>
  <si>
    <t>0,1443P</t>
  </si>
  <si>
    <t>P = pas</t>
  </si>
  <si>
    <t>prof/cos(pi/6)</t>
  </si>
  <si>
    <t>profondeur de filet si chariot à 30°</t>
  </si>
  <si>
    <t>d-p/8</t>
  </si>
  <si>
    <t>1,2268 P/2
ou d-d3</t>
  </si>
  <si>
    <t>tolérance sur D1 (Ø initial alésage écrou)</t>
  </si>
  <si>
    <t>Ø fond de filet vis</t>
  </si>
  <si>
    <t>Ø initial vis</t>
  </si>
  <si>
    <t>Ø sur flancs (au milieu)</t>
  </si>
  <si>
    <t>Ø nominal</t>
  </si>
  <si>
    <t>profondeur de coupe vis au rayon par rapport à d</t>
  </si>
  <si>
    <t>max result</t>
  </si>
  <si>
    <t>Diamètre ?</t>
  </si>
  <si>
    <t>Pas</t>
  </si>
  <si>
    <t>Øinital ext vis</t>
  </si>
  <si>
    <t>Ø intial alésage écrou</t>
  </si>
  <si>
    <t>profondeur de coupe depuis D</t>
  </si>
  <si>
    <t>profondeur depuis Ø vis inital si chariot à 30°</t>
  </si>
  <si>
    <t>profondeur de coupe vis au rayon par rapport à Ø vis initiale</t>
  </si>
  <si>
    <t xml:space="preserve">profondeur de coupe par rapport au Ø inital </t>
  </si>
  <si>
    <t>nb passes</t>
  </si>
  <si>
    <t>profondeur de passe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</si>
</sst>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CAC26"/>
        <bgColor indexed="64"/>
      </patternFill>
    </fill>
    <fill>
      <patternFill patternType="solid">
        <fgColor rgb="FFC2D1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165" fontId="0" fillId="0" borderId="0" xfId="0" applyNumberFormat="1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3" borderId="0" xfId="0" applyFill="1" applyAlignment="1">
      <alignment horizontal="center" wrapText="1"/>
    </xf>
    <xf numFmtId="164" fontId="0" fillId="3" borderId="0" xfId="0" applyNumberFormat="1" applyFill="1"/>
    <xf numFmtId="0" fontId="0" fillId="3" borderId="0" xfId="0" applyFill="1"/>
    <xf numFmtId="164" fontId="0" fillId="4" borderId="0" xfId="0" applyNumberFormat="1" applyFill="1"/>
    <xf numFmtId="0" fontId="0" fillId="4" borderId="0" xfId="0" applyFill="1"/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34CF81B-08D7-49AD-BCD2-0576134263D3}"/>
  </tableStyles>
  <colors>
    <mruColors>
      <color rgb="FFC2D180"/>
      <color rgb="FFECAC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37</xdr:row>
      <xdr:rowOff>0</xdr:rowOff>
    </xdr:from>
    <xdr:to>
      <xdr:col>19</xdr:col>
      <xdr:colOff>571500</xdr:colOff>
      <xdr:row>76</xdr:row>
      <xdr:rowOff>104775</xdr:rowOff>
    </xdr:to>
    <xdr:pic>
      <xdr:nvPicPr>
        <xdr:cNvPr id="2" name="Image 1" descr="fabrication mécanique : assemblage vis- écrou">
          <a:extLst>
            <a:ext uri="{FF2B5EF4-FFF2-40B4-BE49-F238E27FC236}">
              <a16:creationId xmlns:a16="http://schemas.microsoft.com/office/drawing/2014/main" id="{7F198BD9-D938-6B17-526F-C2FEDD84F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6781800"/>
          <a:ext cx="15240000" cy="7534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6E56-F1CC-42EA-B789-E2C29D54C97E}">
  <dimension ref="A1:W38"/>
  <sheetViews>
    <sheetView tabSelected="1" workbookViewId="0">
      <selection activeCell="C4" sqref="C4"/>
    </sheetView>
  </sheetViews>
  <sheetFormatPr baseColWidth="10" defaultRowHeight="15" x14ac:dyDescent="0.25"/>
  <cols>
    <col min="1" max="1" width="12" customWidth="1"/>
    <col min="3" max="3" width="16.42578125" customWidth="1"/>
    <col min="4" max="4" width="12.85546875" customWidth="1"/>
    <col min="5" max="5" width="12" customWidth="1"/>
    <col min="14" max="14" width="4.42578125" bestFit="1" customWidth="1"/>
    <col min="15" max="15" width="15.5703125" customWidth="1"/>
    <col min="16" max="16" width="14.5703125" customWidth="1"/>
    <col min="17" max="18" width="19.140625" customWidth="1"/>
    <col min="19" max="20" width="14.42578125" customWidth="1"/>
    <col min="22" max="22" width="18.140625" customWidth="1"/>
    <col min="23" max="23" width="15.7109375" customWidth="1"/>
  </cols>
  <sheetData>
    <row r="1" spans="1:23" s="11" customFormat="1" ht="75" x14ac:dyDescent="0.25">
      <c r="A1" s="11" t="s">
        <v>27</v>
      </c>
      <c r="B1" s="11" t="s">
        <v>28</v>
      </c>
      <c r="C1" s="12" t="s">
        <v>29</v>
      </c>
      <c r="D1" s="13" t="s">
        <v>30</v>
      </c>
      <c r="E1" s="13"/>
      <c r="F1" s="11" t="s">
        <v>31</v>
      </c>
      <c r="G1" s="11" t="s">
        <v>34</v>
      </c>
      <c r="H1" s="3" t="s">
        <v>17</v>
      </c>
      <c r="I1" s="9" t="s">
        <v>32</v>
      </c>
      <c r="J1" s="11" t="s">
        <v>36</v>
      </c>
      <c r="K1" s="11" t="s">
        <v>35</v>
      </c>
    </row>
    <row r="2" spans="1:23" s="11" customFormat="1" x14ac:dyDescent="0.25">
      <c r="C2" s="12"/>
      <c r="D2" s="18" t="s">
        <v>2</v>
      </c>
      <c r="E2" s="18" t="s">
        <v>1</v>
      </c>
      <c r="H2" s="3"/>
      <c r="I2" s="9"/>
    </row>
    <row r="3" spans="1:23" x14ac:dyDescent="0.25">
      <c r="A3">
        <v>15.875</v>
      </c>
      <c r="B3">
        <f>VLOOKUP($A$3,A7:V36,2,0)</f>
        <v>1.411111111111111</v>
      </c>
      <c r="C3" s="16">
        <f>VLOOKUP($A$3,A7:V36,18,0)</f>
        <v>15.698611111111111</v>
      </c>
      <c r="D3" s="14">
        <f>VLOOKUP($A$3,A7:V36,12,0)</f>
        <v>14.347</v>
      </c>
      <c r="E3" s="15">
        <f>VLOOKUP($A$3,A7:V36,15,0)</f>
        <v>14.722</v>
      </c>
      <c r="F3">
        <f>VLOOKUP($A$3,A7:W36,19,0)</f>
        <v>0.86599999999999999</v>
      </c>
      <c r="G3">
        <f>VLOOKUP($A$3,A7:W36,20,0)</f>
        <v>0.69</v>
      </c>
      <c r="H3">
        <f>VLOOKUP($A$3,A7:W36,22,0)</f>
        <v>1</v>
      </c>
      <c r="I3" s="17">
        <f>VLOOKUP($A$3,A7:W36,23,0)</f>
        <v>0.79700000000000004</v>
      </c>
      <c r="J3">
        <v>0.05</v>
      </c>
      <c r="K3">
        <f>I3/J3</f>
        <v>15.94</v>
      </c>
    </row>
    <row r="4" spans="1:23" x14ac:dyDescent="0.25">
      <c r="C4" s="10">
        <f>C3/25.4</f>
        <v>0.61805555555555558</v>
      </c>
      <c r="D4" s="10">
        <f>D3/25.4</f>
        <v>0.5648425196850394</v>
      </c>
      <c r="E4" s="10">
        <f>E3/25.4</f>
        <v>0.57960629921259843</v>
      </c>
    </row>
    <row r="5" spans="1:23" s="4" customFormat="1" ht="24" customHeight="1" x14ac:dyDescent="0.25">
      <c r="A5" s="4" t="s">
        <v>9</v>
      </c>
      <c r="C5" s="4" t="s">
        <v>11</v>
      </c>
    </row>
    <row r="6" spans="1:23" s="4" customFormat="1" ht="75" x14ac:dyDescent="0.25">
      <c r="A6" s="3" t="s">
        <v>24</v>
      </c>
      <c r="C6" s="3" t="s">
        <v>23</v>
      </c>
      <c r="D6" s="7" t="s">
        <v>7</v>
      </c>
      <c r="E6" s="7"/>
      <c r="F6" s="7"/>
      <c r="G6" s="7"/>
      <c r="H6" s="7" t="s">
        <v>8</v>
      </c>
      <c r="I6" s="7"/>
      <c r="J6" s="7"/>
      <c r="K6" s="7"/>
      <c r="L6" s="8" t="s">
        <v>20</v>
      </c>
      <c r="M6" s="8"/>
      <c r="N6" s="8"/>
      <c r="O6" s="8"/>
      <c r="Q6" s="3" t="s">
        <v>21</v>
      </c>
      <c r="R6" s="9" t="s">
        <v>22</v>
      </c>
      <c r="S6" s="3" t="s">
        <v>25</v>
      </c>
      <c r="T6" s="3" t="s">
        <v>33</v>
      </c>
      <c r="U6" s="3" t="s">
        <v>13</v>
      </c>
      <c r="V6" s="3" t="s">
        <v>17</v>
      </c>
      <c r="W6" s="3" t="s">
        <v>32</v>
      </c>
    </row>
    <row r="7" spans="1:23" s="5" customFormat="1" ht="30" x14ac:dyDescent="0.25">
      <c r="A7" s="5" t="s">
        <v>0</v>
      </c>
      <c r="B7" s="5" t="s">
        <v>15</v>
      </c>
      <c r="C7" s="6" t="s">
        <v>12</v>
      </c>
      <c r="D7" s="5" t="s">
        <v>1</v>
      </c>
      <c r="F7" s="5" t="s">
        <v>2</v>
      </c>
      <c r="H7" s="5" t="s">
        <v>1</v>
      </c>
      <c r="J7" s="5" t="s">
        <v>2</v>
      </c>
      <c r="L7" s="5" t="s">
        <v>3</v>
      </c>
      <c r="M7" s="5" t="s">
        <v>4</v>
      </c>
      <c r="N7" s="5" t="s">
        <v>2</v>
      </c>
      <c r="O7" s="5" t="s">
        <v>26</v>
      </c>
      <c r="P7" s="5" t="s">
        <v>5</v>
      </c>
      <c r="Q7" s="6" t="s">
        <v>6</v>
      </c>
      <c r="R7" s="6" t="s">
        <v>18</v>
      </c>
      <c r="S7" s="6" t="s">
        <v>19</v>
      </c>
      <c r="T7" s="6"/>
      <c r="U7" s="5" t="s">
        <v>14</v>
      </c>
      <c r="V7" s="5" t="s">
        <v>16</v>
      </c>
    </row>
    <row r="8" spans="1:23" x14ac:dyDescent="0.25">
      <c r="A8">
        <v>1.6</v>
      </c>
      <c r="B8">
        <v>0.35</v>
      </c>
      <c r="C8" s="1">
        <f>ROUND(A8-0.6495*B8,3)</f>
        <v>1.373</v>
      </c>
      <c r="D8">
        <v>-19</v>
      </c>
      <c r="E8" s="1">
        <f>C8+D8/1000</f>
        <v>1.3540000000000001</v>
      </c>
      <c r="F8">
        <v>-82</v>
      </c>
      <c r="G8" s="1">
        <f>C8+F8/1000</f>
        <v>1.2909999999999999</v>
      </c>
      <c r="H8">
        <v>85</v>
      </c>
      <c r="I8" s="1">
        <f>C8+H8/1000</f>
        <v>1.458</v>
      </c>
      <c r="J8">
        <v>0</v>
      </c>
      <c r="K8" s="1">
        <f>G8+J8/1000</f>
        <v>1.2909999999999999</v>
      </c>
      <c r="L8" s="1">
        <f>ROUND(A8-1.0825*B8,3)</f>
        <v>1.2210000000000001</v>
      </c>
      <c r="M8">
        <v>100</v>
      </c>
      <c r="N8">
        <v>0</v>
      </c>
      <c r="O8" s="1">
        <f>L8+M8/1000</f>
        <v>1.3210000000000002</v>
      </c>
      <c r="P8" s="1">
        <f>ROUND(0.866*B8,3)</f>
        <v>0.30299999999999999</v>
      </c>
      <c r="Q8" s="1">
        <f>A8-S8</f>
        <v>1.385</v>
      </c>
      <c r="R8" s="1">
        <f>A8-B8/8</f>
        <v>1.5562500000000001</v>
      </c>
      <c r="S8" s="1">
        <f>ROUND(B8*1.2268/2,3)</f>
        <v>0.215</v>
      </c>
      <c r="T8" s="1">
        <f>ROUND(S8-(A8-R8),3)</f>
        <v>0.17100000000000001</v>
      </c>
      <c r="U8" s="1">
        <f>ROUND(0.1443*B8,3)</f>
        <v>5.0999999999999997E-2</v>
      </c>
      <c r="V8" s="1">
        <f>ROUND(S8/COS(PI()/6),3)</f>
        <v>0.248</v>
      </c>
      <c r="W8">
        <f>ROUND(T8/COS(PI()/6),3)</f>
        <v>0.19700000000000001</v>
      </c>
    </row>
    <row r="9" spans="1:23" x14ac:dyDescent="0.25">
      <c r="A9">
        <v>2</v>
      </c>
      <c r="B9">
        <v>0.4</v>
      </c>
      <c r="C9" s="1">
        <f t="shared" ref="C9:C35" si="0">ROUND(A9-0.6495*B9,3)</f>
        <v>1.74</v>
      </c>
      <c r="D9">
        <v>-19</v>
      </c>
      <c r="E9" s="1">
        <f t="shared" ref="E9:E35" si="1">C9+D9/1000</f>
        <v>1.7210000000000001</v>
      </c>
      <c r="F9">
        <v>-86</v>
      </c>
      <c r="G9" s="1">
        <f t="shared" ref="G9:G35" si="2">C9+F9/1000</f>
        <v>1.6539999999999999</v>
      </c>
      <c r="H9">
        <v>90</v>
      </c>
      <c r="I9" s="1">
        <f t="shared" ref="I9:I35" si="3">C9+H9/1000</f>
        <v>1.83</v>
      </c>
      <c r="J9">
        <v>0</v>
      </c>
      <c r="K9" s="1">
        <f t="shared" ref="K9:K35" si="4">G9+J9/1000</f>
        <v>1.6539999999999999</v>
      </c>
      <c r="L9" s="1">
        <f t="shared" ref="L9:L35" si="5">ROUND(A9-1.0825*B9,3)</f>
        <v>1.5669999999999999</v>
      </c>
      <c r="M9">
        <v>112</v>
      </c>
      <c r="N9">
        <v>0</v>
      </c>
      <c r="O9" s="1">
        <f t="shared" ref="O9:O35" si="6">L9+M9/1000</f>
        <v>1.679</v>
      </c>
      <c r="P9" s="1">
        <f t="shared" ref="P9:P35" si="7">ROUND(0.866*B9,3)</f>
        <v>0.34599999999999997</v>
      </c>
      <c r="Q9" s="1">
        <f>A9-S9</f>
        <v>1.7549999999999999</v>
      </c>
      <c r="R9" s="1">
        <f t="shared" ref="R9:R35" si="8">A9-B9/8</f>
        <v>1.95</v>
      </c>
      <c r="S9" s="1">
        <f t="shared" ref="S9:S35" si="9">ROUND(B9*1.2268/2,3)</f>
        <v>0.245</v>
      </c>
      <c r="T9" s="1">
        <f t="shared" ref="T9:T35" si="10">ROUND(S9-(A9-R9),3)</f>
        <v>0.19500000000000001</v>
      </c>
      <c r="U9" s="1">
        <f t="shared" ref="U9:U35" si="11">ROUND(0.1443*B9,3)</f>
        <v>5.8000000000000003E-2</v>
      </c>
      <c r="V9" s="1">
        <f t="shared" ref="V9:V35" si="12">ROUND(S9/COS(PI()/6),3)</f>
        <v>0.28299999999999997</v>
      </c>
      <c r="W9">
        <f t="shared" ref="W9:W35" si="13">ROUND(T9/COS(PI()/6),3)</f>
        <v>0.22500000000000001</v>
      </c>
    </row>
    <row r="10" spans="1:23" x14ac:dyDescent="0.25">
      <c r="A10">
        <v>2.5</v>
      </c>
      <c r="B10">
        <v>0.5</v>
      </c>
      <c r="C10" s="1">
        <f t="shared" si="0"/>
        <v>2.1749999999999998</v>
      </c>
      <c r="D10">
        <v>-20</v>
      </c>
      <c r="E10" s="1">
        <f t="shared" si="1"/>
        <v>2.1549999999999998</v>
      </c>
      <c r="F10">
        <v>-91</v>
      </c>
      <c r="G10" s="1">
        <f t="shared" si="2"/>
        <v>2.0839999999999996</v>
      </c>
      <c r="H10">
        <v>95</v>
      </c>
      <c r="I10" s="1">
        <f t="shared" si="3"/>
        <v>2.27</v>
      </c>
      <c r="J10">
        <v>0</v>
      </c>
      <c r="K10" s="1">
        <f t="shared" si="4"/>
        <v>2.0839999999999996</v>
      </c>
      <c r="L10" s="1">
        <f t="shared" si="5"/>
        <v>1.9590000000000001</v>
      </c>
      <c r="M10">
        <v>125</v>
      </c>
      <c r="N10">
        <v>0</v>
      </c>
      <c r="O10" s="1">
        <f t="shared" si="6"/>
        <v>2.0840000000000001</v>
      </c>
      <c r="P10" s="1">
        <f t="shared" si="7"/>
        <v>0.433</v>
      </c>
      <c r="Q10" s="1">
        <f>A10-S10</f>
        <v>2.1930000000000001</v>
      </c>
      <c r="R10" s="1">
        <f t="shared" si="8"/>
        <v>2.4375</v>
      </c>
      <c r="S10" s="1">
        <f t="shared" si="9"/>
        <v>0.307</v>
      </c>
      <c r="T10" s="1">
        <f t="shared" si="10"/>
        <v>0.245</v>
      </c>
      <c r="U10" s="1">
        <f t="shared" si="11"/>
        <v>7.1999999999999995E-2</v>
      </c>
      <c r="V10" s="1">
        <f t="shared" si="12"/>
        <v>0.35399999999999998</v>
      </c>
      <c r="W10">
        <f t="shared" si="13"/>
        <v>0.28299999999999997</v>
      </c>
    </row>
    <row r="11" spans="1:23" x14ac:dyDescent="0.25">
      <c r="A11">
        <v>3</v>
      </c>
      <c r="B11">
        <v>0.5</v>
      </c>
      <c r="C11" s="1">
        <f t="shared" si="0"/>
        <v>2.6749999999999998</v>
      </c>
      <c r="D11">
        <v>-20</v>
      </c>
      <c r="E11" s="1">
        <f t="shared" si="1"/>
        <v>2.6549999999999998</v>
      </c>
      <c r="F11">
        <v>-95</v>
      </c>
      <c r="G11" s="1">
        <f t="shared" si="2"/>
        <v>2.5799999999999996</v>
      </c>
      <c r="H11">
        <v>100</v>
      </c>
      <c r="I11" s="1">
        <f t="shared" si="3"/>
        <v>2.7749999999999999</v>
      </c>
      <c r="J11">
        <v>0</v>
      </c>
      <c r="K11" s="1">
        <f t="shared" si="4"/>
        <v>2.5799999999999996</v>
      </c>
      <c r="L11" s="1">
        <f t="shared" si="5"/>
        <v>2.4590000000000001</v>
      </c>
      <c r="M11">
        <v>140</v>
      </c>
      <c r="N11">
        <v>0</v>
      </c>
      <c r="O11" s="1">
        <f t="shared" si="6"/>
        <v>2.5990000000000002</v>
      </c>
      <c r="P11" s="1">
        <f t="shared" si="7"/>
        <v>0.433</v>
      </c>
      <c r="Q11" s="1">
        <f>A11-S11</f>
        <v>2.6930000000000001</v>
      </c>
      <c r="R11" s="1">
        <f t="shared" si="8"/>
        <v>2.9375</v>
      </c>
      <c r="S11" s="1">
        <f t="shared" si="9"/>
        <v>0.307</v>
      </c>
      <c r="T11" s="1">
        <f t="shared" si="10"/>
        <v>0.245</v>
      </c>
      <c r="U11" s="1">
        <f t="shared" si="11"/>
        <v>7.1999999999999995E-2</v>
      </c>
      <c r="V11" s="1">
        <f t="shared" si="12"/>
        <v>0.35399999999999998</v>
      </c>
      <c r="W11">
        <f t="shared" si="13"/>
        <v>0.28299999999999997</v>
      </c>
    </row>
    <row r="12" spans="1:23" x14ac:dyDescent="0.25">
      <c r="A12">
        <v>4</v>
      </c>
      <c r="B12">
        <v>0.7</v>
      </c>
      <c r="C12" s="1">
        <f t="shared" si="0"/>
        <v>3.5449999999999999</v>
      </c>
      <c r="D12">
        <v>-22</v>
      </c>
      <c r="E12" s="1">
        <f t="shared" si="1"/>
        <v>3.5230000000000001</v>
      </c>
      <c r="F12">
        <v>-112</v>
      </c>
      <c r="G12" s="1">
        <f t="shared" si="2"/>
        <v>3.4329999999999998</v>
      </c>
      <c r="H12">
        <v>118</v>
      </c>
      <c r="I12" s="1">
        <f t="shared" si="3"/>
        <v>3.6629999999999998</v>
      </c>
      <c r="J12">
        <v>0</v>
      </c>
      <c r="K12" s="1">
        <f t="shared" si="4"/>
        <v>3.4329999999999998</v>
      </c>
      <c r="L12" s="1">
        <f t="shared" si="5"/>
        <v>3.242</v>
      </c>
      <c r="M12">
        <v>180</v>
      </c>
      <c r="N12">
        <v>0</v>
      </c>
      <c r="O12" s="1">
        <f t="shared" si="6"/>
        <v>3.4220000000000002</v>
      </c>
      <c r="P12" s="1">
        <f t="shared" si="7"/>
        <v>0.60599999999999998</v>
      </c>
      <c r="Q12" s="1">
        <f>A12-S12</f>
        <v>3.5710000000000002</v>
      </c>
      <c r="R12" s="1">
        <f t="shared" si="8"/>
        <v>3.9125000000000001</v>
      </c>
      <c r="S12" s="1">
        <f t="shared" si="9"/>
        <v>0.42899999999999999</v>
      </c>
      <c r="T12" s="1">
        <f t="shared" si="10"/>
        <v>0.34200000000000003</v>
      </c>
      <c r="U12" s="1">
        <f t="shared" si="11"/>
        <v>0.10100000000000001</v>
      </c>
      <c r="V12" s="1">
        <f t="shared" si="12"/>
        <v>0.495</v>
      </c>
      <c r="W12">
        <f t="shared" si="13"/>
        <v>0.39500000000000002</v>
      </c>
    </row>
    <row r="13" spans="1:23" ht="15.75" customHeight="1" x14ac:dyDescent="0.25">
      <c r="A13">
        <v>5</v>
      </c>
      <c r="B13">
        <v>0.8</v>
      </c>
      <c r="C13" s="1">
        <f t="shared" si="0"/>
        <v>4.4800000000000004</v>
      </c>
      <c r="D13">
        <v>-24</v>
      </c>
      <c r="E13" s="1">
        <f t="shared" si="1"/>
        <v>4.4560000000000004</v>
      </c>
      <c r="F13">
        <v>-119</v>
      </c>
      <c r="G13" s="1">
        <f t="shared" si="2"/>
        <v>4.3610000000000007</v>
      </c>
      <c r="H13">
        <v>125</v>
      </c>
      <c r="I13" s="1">
        <f t="shared" si="3"/>
        <v>4.6050000000000004</v>
      </c>
      <c r="J13">
        <v>0</v>
      </c>
      <c r="K13" s="1">
        <f t="shared" si="4"/>
        <v>4.3610000000000007</v>
      </c>
      <c r="L13" s="1">
        <f t="shared" si="5"/>
        <v>4.1340000000000003</v>
      </c>
      <c r="M13">
        <v>200</v>
      </c>
      <c r="N13">
        <v>0</v>
      </c>
      <c r="O13" s="1">
        <f t="shared" si="6"/>
        <v>4.3340000000000005</v>
      </c>
      <c r="P13" s="1">
        <f t="shared" si="7"/>
        <v>0.69299999999999995</v>
      </c>
      <c r="Q13" s="1">
        <f>A13-S13</f>
        <v>4.5090000000000003</v>
      </c>
      <c r="R13" s="1">
        <f t="shared" si="8"/>
        <v>4.9000000000000004</v>
      </c>
      <c r="S13" s="1">
        <f t="shared" si="9"/>
        <v>0.49099999999999999</v>
      </c>
      <c r="T13" s="1">
        <f t="shared" si="10"/>
        <v>0.39100000000000001</v>
      </c>
      <c r="U13" s="1">
        <f t="shared" si="11"/>
        <v>0.115</v>
      </c>
      <c r="V13" s="1">
        <f t="shared" si="12"/>
        <v>0.56699999999999995</v>
      </c>
      <c r="W13">
        <f t="shared" si="13"/>
        <v>0.45100000000000001</v>
      </c>
    </row>
    <row r="14" spans="1:23" x14ac:dyDescent="0.25">
      <c r="A14">
        <v>6</v>
      </c>
      <c r="B14">
        <v>1</v>
      </c>
      <c r="C14" s="1">
        <f t="shared" si="0"/>
        <v>5.351</v>
      </c>
      <c r="D14">
        <v>-26</v>
      </c>
      <c r="E14" s="1">
        <f t="shared" si="1"/>
        <v>5.3250000000000002</v>
      </c>
      <c r="F14">
        <v>-138</v>
      </c>
      <c r="G14" s="1">
        <f t="shared" si="2"/>
        <v>5.2130000000000001</v>
      </c>
      <c r="H14">
        <v>150</v>
      </c>
      <c r="I14" s="1">
        <f t="shared" si="3"/>
        <v>5.5010000000000003</v>
      </c>
      <c r="J14">
        <v>0</v>
      </c>
      <c r="K14" s="1">
        <f t="shared" si="4"/>
        <v>5.2130000000000001</v>
      </c>
      <c r="L14" s="1">
        <f t="shared" si="5"/>
        <v>4.9180000000000001</v>
      </c>
      <c r="M14">
        <v>235</v>
      </c>
      <c r="N14">
        <v>0</v>
      </c>
      <c r="O14" s="1">
        <f t="shared" si="6"/>
        <v>5.1530000000000005</v>
      </c>
      <c r="P14" s="1">
        <f t="shared" si="7"/>
        <v>0.86599999999999999</v>
      </c>
      <c r="Q14" s="1">
        <f>A14-S14</f>
        <v>5.3870000000000005</v>
      </c>
      <c r="R14" s="1">
        <f t="shared" si="8"/>
        <v>5.875</v>
      </c>
      <c r="S14" s="1">
        <f t="shared" si="9"/>
        <v>0.61299999999999999</v>
      </c>
      <c r="T14" s="1">
        <f t="shared" si="10"/>
        <v>0.48799999999999999</v>
      </c>
      <c r="U14" s="1">
        <f t="shared" si="11"/>
        <v>0.14399999999999999</v>
      </c>
      <c r="V14" s="1">
        <f t="shared" si="12"/>
        <v>0.70799999999999996</v>
      </c>
      <c r="W14">
        <f t="shared" si="13"/>
        <v>0.56299999999999994</v>
      </c>
    </row>
    <row r="15" spans="1:23" x14ac:dyDescent="0.25">
      <c r="A15">
        <v>8</v>
      </c>
      <c r="B15">
        <v>1.25</v>
      </c>
      <c r="C15" s="1">
        <f t="shared" si="0"/>
        <v>7.1879999999999997</v>
      </c>
      <c r="D15">
        <v>-28</v>
      </c>
      <c r="E15" s="1">
        <f t="shared" si="1"/>
        <v>7.16</v>
      </c>
      <c r="F15">
        <v>-146</v>
      </c>
      <c r="G15" s="1">
        <f t="shared" si="2"/>
        <v>7.0419999999999998</v>
      </c>
      <c r="H15">
        <v>160</v>
      </c>
      <c r="I15" s="1">
        <f t="shared" si="3"/>
        <v>7.3479999999999999</v>
      </c>
      <c r="J15">
        <v>0</v>
      </c>
      <c r="K15" s="1">
        <f t="shared" si="4"/>
        <v>7.0419999999999998</v>
      </c>
      <c r="L15" s="1">
        <f t="shared" si="5"/>
        <v>6.6470000000000002</v>
      </c>
      <c r="M15">
        <v>265</v>
      </c>
      <c r="N15">
        <v>0</v>
      </c>
      <c r="O15" s="1">
        <f t="shared" si="6"/>
        <v>6.9119999999999999</v>
      </c>
      <c r="P15" s="1">
        <f t="shared" si="7"/>
        <v>1.083</v>
      </c>
      <c r="Q15" s="1">
        <f>A15-S15</f>
        <v>7.2329999999999997</v>
      </c>
      <c r="R15" s="1">
        <f t="shared" si="8"/>
        <v>7.84375</v>
      </c>
      <c r="S15" s="1">
        <f t="shared" si="9"/>
        <v>0.76700000000000002</v>
      </c>
      <c r="T15" s="1">
        <f t="shared" si="10"/>
        <v>0.61099999999999999</v>
      </c>
      <c r="U15" s="1">
        <f t="shared" si="11"/>
        <v>0.18</v>
      </c>
      <c r="V15" s="1">
        <f t="shared" si="12"/>
        <v>0.88600000000000001</v>
      </c>
      <c r="W15">
        <f t="shared" si="13"/>
        <v>0.70599999999999996</v>
      </c>
    </row>
    <row r="16" spans="1:23" x14ac:dyDescent="0.25">
      <c r="A16">
        <v>10</v>
      </c>
      <c r="B16">
        <v>1.5</v>
      </c>
      <c r="C16" s="1">
        <f t="shared" si="0"/>
        <v>9.0259999999999998</v>
      </c>
      <c r="D16">
        <v>-32</v>
      </c>
      <c r="E16" s="1">
        <f t="shared" si="1"/>
        <v>8.9939999999999998</v>
      </c>
      <c r="F16">
        <v>-164</v>
      </c>
      <c r="G16" s="1">
        <f t="shared" si="2"/>
        <v>8.8620000000000001</v>
      </c>
      <c r="H16">
        <v>180</v>
      </c>
      <c r="I16" s="1">
        <f t="shared" si="3"/>
        <v>9.2059999999999995</v>
      </c>
      <c r="J16">
        <v>0</v>
      </c>
      <c r="K16" s="1">
        <f t="shared" si="4"/>
        <v>8.8620000000000001</v>
      </c>
      <c r="L16" s="1">
        <f t="shared" si="5"/>
        <v>8.3759999999999994</v>
      </c>
      <c r="M16">
        <v>300</v>
      </c>
      <c r="N16">
        <v>0</v>
      </c>
      <c r="O16" s="1">
        <f t="shared" si="6"/>
        <v>8.6760000000000002</v>
      </c>
      <c r="P16" s="1">
        <f t="shared" si="7"/>
        <v>1.2989999999999999</v>
      </c>
      <c r="Q16" s="1">
        <f>A16-S16</f>
        <v>9.08</v>
      </c>
      <c r="R16" s="1">
        <f t="shared" si="8"/>
        <v>9.8125</v>
      </c>
      <c r="S16" s="1">
        <f t="shared" si="9"/>
        <v>0.92</v>
      </c>
      <c r="T16" s="1">
        <f t="shared" si="10"/>
        <v>0.73299999999999998</v>
      </c>
      <c r="U16" s="1">
        <f t="shared" si="11"/>
        <v>0.216</v>
      </c>
      <c r="V16" s="1">
        <f t="shared" si="12"/>
        <v>1.0620000000000001</v>
      </c>
      <c r="W16">
        <f t="shared" si="13"/>
        <v>0.84599999999999997</v>
      </c>
    </row>
    <row r="17" spans="1:23" x14ac:dyDescent="0.25">
      <c r="A17">
        <v>12</v>
      </c>
      <c r="B17">
        <v>1.75</v>
      </c>
      <c r="C17" s="1">
        <f t="shared" si="0"/>
        <v>10.863</v>
      </c>
      <c r="D17">
        <v>-34</v>
      </c>
      <c r="E17" s="1">
        <f t="shared" si="1"/>
        <v>10.828999999999999</v>
      </c>
      <c r="F17">
        <v>-184</v>
      </c>
      <c r="G17" s="1">
        <f t="shared" si="2"/>
        <v>10.679</v>
      </c>
      <c r="H17">
        <v>200</v>
      </c>
      <c r="I17" s="1">
        <f t="shared" si="3"/>
        <v>11.062999999999999</v>
      </c>
      <c r="J17">
        <v>0</v>
      </c>
      <c r="K17" s="1">
        <f t="shared" si="4"/>
        <v>10.679</v>
      </c>
      <c r="L17" s="1">
        <f t="shared" si="5"/>
        <v>10.106</v>
      </c>
      <c r="M17">
        <v>335</v>
      </c>
      <c r="N17">
        <v>0</v>
      </c>
      <c r="O17" s="1">
        <f t="shared" si="6"/>
        <v>10.441000000000001</v>
      </c>
      <c r="P17" s="1">
        <f t="shared" si="7"/>
        <v>1.516</v>
      </c>
      <c r="Q17" s="1">
        <f>A17-S17</f>
        <v>10.927</v>
      </c>
      <c r="R17" s="1">
        <f t="shared" si="8"/>
        <v>11.78125</v>
      </c>
      <c r="S17" s="1">
        <f t="shared" si="9"/>
        <v>1.073</v>
      </c>
      <c r="T17" s="1">
        <f t="shared" si="10"/>
        <v>0.85399999999999998</v>
      </c>
      <c r="U17" s="1">
        <f t="shared" si="11"/>
        <v>0.253</v>
      </c>
      <c r="V17" s="1">
        <f t="shared" si="12"/>
        <v>1.2390000000000001</v>
      </c>
      <c r="W17">
        <f t="shared" si="13"/>
        <v>0.98599999999999999</v>
      </c>
    </row>
    <row r="18" spans="1:23" x14ac:dyDescent="0.25">
      <c r="A18" s="2">
        <v>14</v>
      </c>
      <c r="B18">
        <v>2</v>
      </c>
      <c r="C18" s="1">
        <f t="shared" si="0"/>
        <v>12.701000000000001</v>
      </c>
      <c r="D18">
        <v>-38</v>
      </c>
      <c r="E18" s="1">
        <f t="shared" si="1"/>
        <v>12.663</v>
      </c>
      <c r="F18">
        <v>-198</v>
      </c>
      <c r="G18" s="1">
        <f t="shared" si="2"/>
        <v>12.503</v>
      </c>
      <c r="H18">
        <v>212</v>
      </c>
      <c r="I18" s="1">
        <f t="shared" si="3"/>
        <v>12.913</v>
      </c>
      <c r="J18">
        <v>0</v>
      </c>
      <c r="K18" s="1">
        <f t="shared" si="4"/>
        <v>12.503</v>
      </c>
      <c r="L18" s="1">
        <f t="shared" si="5"/>
        <v>11.835000000000001</v>
      </c>
      <c r="M18">
        <v>375</v>
      </c>
      <c r="N18">
        <v>0</v>
      </c>
      <c r="O18" s="1">
        <f t="shared" si="6"/>
        <v>12.21</v>
      </c>
      <c r="P18" s="1">
        <f t="shared" si="7"/>
        <v>1.732</v>
      </c>
      <c r="Q18" s="1">
        <f>A18-S18</f>
        <v>12.773</v>
      </c>
      <c r="R18" s="1">
        <f t="shared" si="8"/>
        <v>13.75</v>
      </c>
      <c r="S18" s="1">
        <f t="shared" si="9"/>
        <v>1.2270000000000001</v>
      </c>
      <c r="T18" s="1">
        <f t="shared" si="10"/>
        <v>0.97699999999999998</v>
      </c>
      <c r="U18" s="1">
        <f t="shared" si="11"/>
        <v>0.28899999999999998</v>
      </c>
      <c r="V18" s="1">
        <f t="shared" si="12"/>
        <v>1.417</v>
      </c>
      <c r="W18">
        <f t="shared" si="13"/>
        <v>1.1279999999999999</v>
      </c>
    </row>
    <row r="19" spans="1:23" x14ac:dyDescent="0.25">
      <c r="A19">
        <v>16</v>
      </c>
      <c r="B19">
        <v>2</v>
      </c>
      <c r="C19" s="1">
        <f t="shared" si="0"/>
        <v>14.701000000000001</v>
      </c>
      <c r="D19">
        <v>-38</v>
      </c>
      <c r="E19" s="1">
        <f t="shared" si="1"/>
        <v>14.663</v>
      </c>
      <c r="F19">
        <v>-198</v>
      </c>
      <c r="G19" s="1">
        <f t="shared" si="2"/>
        <v>14.503</v>
      </c>
      <c r="H19">
        <v>212</v>
      </c>
      <c r="I19" s="1">
        <f t="shared" si="3"/>
        <v>14.913</v>
      </c>
      <c r="J19">
        <v>0</v>
      </c>
      <c r="K19" s="1">
        <f t="shared" si="4"/>
        <v>14.503</v>
      </c>
      <c r="L19" s="1">
        <f t="shared" si="5"/>
        <v>13.835000000000001</v>
      </c>
      <c r="M19">
        <v>375</v>
      </c>
      <c r="N19">
        <v>0</v>
      </c>
      <c r="O19" s="1">
        <f t="shared" si="6"/>
        <v>14.21</v>
      </c>
      <c r="P19" s="1">
        <f t="shared" si="7"/>
        <v>1.732</v>
      </c>
      <c r="Q19" s="1">
        <f>A19-S19</f>
        <v>14.773</v>
      </c>
      <c r="R19" s="1">
        <f t="shared" si="8"/>
        <v>15.75</v>
      </c>
      <c r="S19" s="1">
        <f t="shared" si="9"/>
        <v>1.2270000000000001</v>
      </c>
      <c r="T19" s="1">
        <f t="shared" si="10"/>
        <v>0.97699999999999998</v>
      </c>
      <c r="U19" s="1">
        <f t="shared" si="11"/>
        <v>0.28899999999999998</v>
      </c>
      <c r="V19" s="1">
        <f t="shared" si="12"/>
        <v>1.417</v>
      </c>
      <c r="W19">
        <f t="shared" si="13"/>
        <v>1.1279999999999999</v>
      </c>
    </row>
    <row r="20" spans="1:23" x14ac:dyDescent="0.25">
      <c r="A20" s="2">
        <v>18</v>
      </c>
      <c r="B20">
        <v>2.5</v>
      </c>
      <c r="C20" s="1">
        <f t="shared" si="0"/>
        <v>16.376000000000001</v>
      </c>
      <c r="D20">
        <v>-42</v>
      </c>
      <c r="E20" s="1">
        <f t="shared" si="1"/>
        <v>16.334</v>
      </c>
      <c r="F20">
        <v>-212</v>
      </c>
      <c r="G20" s="1">
        <f t="shared" si="2"/>
        <v>16.164000000000001</v>
      </c>
      <c r="H20">
        <v>224</v>
      </c>
      <c r="I20" s="1">
        <f t="shared" si="3"/>
        <v>16.600000000000001</v>
      </c>
      <c r="J20">
        <v>0</v>
      </c>
      <c r="K20" s="1">
        <f t="shared" si="4"/>
        <v>16.164000000000001</v>
      </c>
      <c r="L20" s="1">
        <f t="shared" si="5"/>
        <v>15.294</v>
      </c>
      <c r="M20">
        <v>450</v>
      </c>
      <c r="N20">
        <v>0</v>
      </c>
      <c r="O20" s="1">
        <f t="shared" si="6"/>
        <v>15.744</v>
      </c>
      <c r="P20" s="1">
        <f t="shared" si="7"/>
        <v>2.165</v>
      </c>
      <c r="Q20" s="1">
        <f>A20-S20</f>
        <v>16.466000000000001</v>
      </c>
      <c r="R20" s="1">
        <f t="shared" si="8"/>
        <v>17.6875</v>
      </c>
      <c r="S20" s="1">
        <f t="shared" si="9"/>
        <v>1.534</v>
      </c>
      <c r="T20" s="1">
        <f t="shared" si="10"/>
        <v>1.222</v>
      </c>
      <c r="U20" s="1">
        <f t="shared" si="11"/>
        <v>0.36099999999999999</v>
      </c>
      <c r="V20" s="1">
        <f t="shared" si="12"/>
        <v>1.7709999999999999</v>
      </c>
      <c r="W20">
        <f t="shared" si="13"/>
        <v>1.411</v>
      </c>
    </row>
    <row r="21" spans="1:23" x14ac:dyDescent="0.25">
      <c r="A21">
        <v>20</v>
      </c>
      <c r="B21">
        <v>2.5</v>
      </c>
      <c r="C21" s="1">
        <f t="shared" si="0"/>
        <v>18.376000000000001</v>
      </c>
      <c r="D21">
        <v>-42</v>
      </c>
      <c r="E21" s="1">
        <f t="shared" si="1"/>
        <v>18.334</v>
      </c>
      <c r="F21">
        <v>-212</v>
      </c>
      <c r="G21" s="1">
        <f t="shared" si="2"/>
        <v>18.164000000000001</v>
      </c>
      <c r="H21">
        <v>224</v>
      </c>
      <c r="I21" s="1">
        <f t="shared" si="3"/>
        <v>18.600000000000001</v>
      </c>
      <c r="J21">
        <v>0</v>
      </c>
      <c r="K21" s="1">
        <f t="shared" si="4"/>
        <v>18.164000000000001</v>
      </c>
      <c r="L21" s="1">
        <f t="shared" si="5"/>
        <v>17.294</v>
      </c>
      <c r="M21">
        <v>450</v>
      </c>
      <c r="N21">
        <v>0</v>
      </c>
      <c r="O21" s="1">
        <f t="shared" si="6"/>
        <v>17.744</v>
      </c>
      <c r="P21" s="1">
        <f t="shared" si="7"/>
        <v>2.165</v>
      </c>
      <c r="Q21" s="1">
        <f>A21-S21</f>
        <v>18.466000000000001</v>
      </c>
      <c r="R21" s="1">
        <f t="shared" si="8"/>
        <v>19.6875</v>
      </c>
      <c r="S21" s="1">
        <f t="shared" si="9"/>
        <v>1.534</v>
      </c>
      <c r="T21" s="1">
        <f t="shared" si="10"/>
        <v>1.222</v>
      </c>
      <c r="U21" s="1">
        <f t="shared" si="11"/>
        <v>0.36099999999999999</v>
      </c>
      <c r="V21" s="1">
        <f t="shared" si="12"/>
        <v>1.7709999999999999</v>
      </c>
      <c r="W21">
        <f t="shared" si="13"/>
        <v>1.411</v>
      </c>
    </row>
    <row r="22" spans="1:23" x14ac:dyDescent="0.25">
      <c r="A22" s="2">
        <v>22</v>
      </c>
      <c r="B22">
        <v>2.5</v>
      </c>
      <c r="C22" s="1">
        <f t="shared" si="0"/>
        <v>20.376000000000001</v>
      </c>
      <c r="D22">
        <v>-42</v>
      </c>
      <c r="E22" s="1">
        <f t="shared" si="1"/>
        <v>20.334</v>
      </c>
      <c r="F22">
        <v>-212</v>
      </c>
      <c r="G22" s="1">
        <f t="shared" si="2"/>
        <v>20.164000000000001</v>
      </c>
      <c r="H22">
        <v>224</v>
      </c>
      <c r="I22" s="1">
        <f t="shared" si="3"/>
        <v>20.6</v>
      </c>
      <c r="J22">
        <v>0</v>
      </c>
      <c r="K22" s="1">
        <f t="shared" si="4"/>
        <v>20.164000000000001</v>
      </c>
      <c r="L22" s="1">
        <f t="shared" si="5"/>
        <v>19.294</v>
      </c>
      <c r="M22">
        <v>450</v>
      </c>
      <c r="N22">
        <v>0</v>
      </c>
      <c r="O22" s="1">
        <f t="shared" si="6"/>
        <v>19.744</v>
      </c>
      <c r="P22" s="1">
        <f t="shared" si="7"/>
        <v>2.165</v>
      </c>
      <c r="Q22" s="1">
        <f>A22-S22</f>
        <v>20.466000000000001</v>
      </c>
      <c r="R22" s="1">
        <f t="shared" si="8"/>
        <v>21.6875</v>
      </c>
      <c r="S22" s="1">
        <f t="shared" si="9"/>
        <v>1.534</v>
      </c>
      <c r="T22" s="1">
        <f t="shared" si="10"/>
        <v>1.222</v>
      </c>
      <c r="U22" s="1">
        <f t="shared" si="11"/>
        <v>0.36099999999999999</v>
      </c>
      <c r="V22" s="1">
        <f t="shared" si="12"/>
        <v>1.7709999999999999</v>
      </c>
      <c r="W22">
        <f t="shared" si="13"/>
        <v>1.411</v>
      </c>
    </row>
    <row r="23" spans="1:23" x14ac:dyDescent="0.25">
      <c r="A23">
        <v>24</v>
      </c>
      <c r="B23">
        <v>3</v>
      </c>
      <c r="C23" s="1">
        <f t="shared" si="0"/>
        <v>22.052</v>
      </c>
      <c r="D23">
        <v>-48</v>
      </c>
      <c r="E23" s="1">
        <f t="shared" si="1"/>
        <v>22.004000000000001</v>
      </c>
      <c r="F23">
        <v>-248</v>
      </c>
      <c r="G23" s="1">
        <f t="shared" si="2"/>
        <v>21.803999999999998</v>
      </c>
      <c r="H23">
        <v>265</v>
      </c>
      <c r="I23" s="1">
        <f t="shared" si="3"/>
        <v>22.317</v>
      </c>
      <c r="J23">
        <v>0</v>
      </c>
      <c r="K23" s="1">
        <f t="shared" si="4"/>
        <v>21.803999999999998</v>
      </c>
      <c r="L23" s="1">
        <f t="shared" si="5"/>
        <v>20.753</v>
      </c>
      <c r="M23">
        <v>500</v>
      </c>
      <c r="N23">
        <v>0</v>
      </c>
      <c r="O23" s="1">
        <f t="shared" si="6"/>
        <v>21.253</v>
      </c>
      <c r="P23" s="1">
        <f t="shared" si="7"/>
        <v>2.5979999999999999</v>
      </c>
      <c r="Q23" s="1">
        <f>A23-S23</f>
        <v>22.16</v>
      </c>
      <c r="R23" s="1">
        <f t="shared" si="8"/>
        <v>23.625</v>
      </c>
      <c r="S23" s="1">
        <f t="shared" si="9"/>
        <v>1.84</v>
      </c>
      <c r="T23" s="1">
        <f t="shared" si="10"/>
        <v>1.4650000000000001</v>
      </c>
      <c r="U23" s="1">
        <f t="shared" si="11"/>
        <v>0.433</v>
      </c>
      <c r="V23" s="1">
        <f t="shared" si="12"/>
        <v>2.125</v>
      </c>
      <c r="W23">
        <f t="shared" si="13"/>
        <v>1.6919999999999999</v>
      </c>
    </row>
    <row r="24" spans="1:23" x14ac:dyDescent="0.25">
      <c r="A24" s="2">
        <v>27</v>
      </c>
      <c r="B24">
        <v>3</v>
      </c>
      <c r="C24" s="1">
        <f t="shared" si="0"/>
        <v>25.052</v>
      </c>
      <c r="D24">
        <v>-48</v>
      </c>
      <c r="E24" s="1">
        <f t="shared" si="1"/>
        <v>25.004000000000001</v>
      </c>
      <c r="F24">
        <v>-248</v>
      </c>
      <c r="G24" s="1">
        <f t="shared" si="2"/>
        <v>24.803999999999998</v>
      </c>
      <c r="H24">
        <v>265</v>
      </c>
      <c r="I24" s="1">
        <f t="shared" si="3"/>
        <v>25.317</v>
      </c>
      <c r="J24">
        <v>0</v>
      </c>
      <c r="K24" s="1">
        <f t="shared" si="4"/>
        <v>24.803999999999998</v>
      </c>
      <c r="L24" s="1">
        <f t="shared" si="5"/>
        <v>23.753</v>
      </c>
      <c r="M24">
        <v>500</v>
      </c>
      <c r="N24">
        <v>0</v>
      </c>
      <c r="O24" s="1">
        <f t="shared" si="6"/>
        <v>24.253</v>
      </c>
      <c r="P24" s="1">
        <f t="shared" si="7"/>
        <v>2.5979999999999999</v>
      </c>
      <c r="Q24" s="1">
        <f>A24-S24</f>
        <v>25.16</v>
      </c>
      <c r="R24" s="1">
        <f t="shared" si="8"/>
        <v>26.625</v>
      </c>
      <c r="S24" s="1">
        <f t="shared" si="9"/>
        <v>1.84</v>
      </c>
      <c r="T24" s="1">
        <f t="shared" si="10"/>
        <v>1.4650000000000001</v>
      </c>
      <c r="U24" s="1">
        <f t="shared" si="11"/>
        <v>0.433</v>
      </c>
      <c r="V24" s="1">
        <f t="shared" si="12"/>
        <v>2.125</v>
      </c>
      <c r="W24">
        <f t="shared" si="13"/>
        <v>1.6919999999999999</v>
      </c>
    </row>
    <row r="25" spans="1:23" x14ac:dyDescent="0.25">
      <c r="A25">
        <v>30</v>
      </c>
      <c r="B25">
        <v>3.5</v>
      </c>
      <c r="C25" s="1">
        <f t="shared" si="0"/>
        <v>27.727</v>
      </c>
      <c r="D25">
        <v>-53</v>
      </c>
      <c r="E25" s="1">
        <f t="shared" si="1"/>
        <v>27.673999999999999</v>
      </c>
      <c r="F25">
        <v>-265</v>
      </c>
      <c r="G25" s="1">
        <f t="shared" si="2"/>
        <v>27.462</v>
      </c>
      <c r="H25">
        <v>280</v>
      </c>
      <c r="I25" s="1">
        <f t="shared" si="3"/>
        <v>28.007000000000001</v>
      </c>
      <c r="J25">
        <v>0</v>
      </c>
      <c r="K25" s="1">
        <f t="shared" si="4"/>
        <v>27.462</v>
      </c>
      <c r="L25" s="1">
        <f t="shared" si="5"/>
        <v>26.210999999999999</v>
      </c>
      <c r="M25">
        <v>560</v>
      </c>
      <c r="N25">
        <v>0</v>
      </c>
      <c r="O25" s="1">
        <f t="shared" si="6"/>
        <v>26.770999999999997</v>
      </c>
      <c r="P25" s="1">
        <f t="shared" si="7"/>
        <v>3.0310000000000001</v>
      </c>
      <c r="Q25" s="1">
        <f>A25-S25</f>
        <v>27.853000000000002</v>
      </c>
      <c r="R25" s="1">
        <f t="shared" si="8"/>
        <v>29.5625</v>
      </c>
      <c r="S25" s="1">
        <f t="shared" si="9"/>
        <v>2.1469999999999998</v>
      </c>
      <c r="T25" s="1">
        <f t="shared" si="10"/>
        <v>1.71</v>
      </c>
      <c r="U25" s="1">
        <f t="shared" si="11"/>
        <v>0.505</v>
      </c>
      <c r="V25" s="1">
        <f t="shared" si="12"/>
        <v>2.4790000000000001</v>
      </c>
      <c r="W25">
        <f t="shared" si="13"/>
        <v>1.9750000000000001</v>
      </c>
    </row>
    <row r="26" spans="1:23" x14ac:dyDescent="0.25">
      <c r="A26" s="2">
        <v>33</v>
      </c>
      <c r="B26">
        <v>3.5</v>
      </c>
      <c r="C26" s="1">
        <f t="shared" si="0"/>
        <v>30.727</v>
      </c>
      <c r="D26">
        <v>-53</v>
      </c>
      <c r="E26" s="1">
        <f t="shared" si="1"/>
        <v>30.673999999999999</v>
      </c>
      <c r="F26">
        <v>-265</v>
      </c>
      <c r="G26" s="1">
        <f t="shared" si="2"/>
        <v>30.462</v>
      </c>
      <c r="H26">
        <v>280</v>
      </c>
      <c r="I26" s="1">
        <f t="shared" si="3"/>
        <v>31.007000000000001</v>
      </c>
      <c r="J26">
        <v>0</v>
      </c>
      <c r="K26" s="1">
        <f t="shared" si="4"/>
        <v>30.462</v>
      </c>
      <c r="L26" s="1">
        <f t="shared" si="5"/>
        <v>29.210999999999999</v>
      </c>
      <c r="M26">
        <v>560</v>
      </c>
      <c r="N26">
        <v>0</v>
      </c>
      <c r="O26" s="1">
        <f t="shared" si="6"/>
        <v>29.770999999999997</v>
      </c>
      <c r="P26" s="1">
        <f t="shared" si="7"/>
        <v>3.0310000000000001</v>
      </c>
      <c r="Q26" s="1">
        <f>A26-S26</f>
        <v>30.853000000000002</v>
      </c>
      <c r="R26" s="1">
        <f t="shared" si="8"/>
        <v>32.5625</v>
      </c>
      <c r="S26" s="1">
        <f t="shared" si="9"/>
        <v>2.1469999999999998</v>
      </c>
      <c r="T26" s="1">
        <f t="shared" si="10"/>
        <v>1.71</v>
      </c>
      <c r="U26" s="1">
        <f t="shared" si="11"/>
        <v>0.505</v>
      </c>
      <c r="V26" s="1">
        <f t="shared" si="12"/>
        <v>2.4790000000000001</v>
      </c>
      <c r="W26">
        <f t="shared" si="13"/>
        <v>1.9750000000000001</v>
      </c>
    </row>
    <row r="27" spans="1:23" x14ac:dyDescent="0.25">
      <c r="A27">
        <v>36</v>
      </c>
      <c r="B27">
        <v>4</v>
      </c>
      <c r="C27" s="1">
        <f t="shared" si="0"/>
        <v>33.402000000000001</v>
      </c>
      <c r="D27">
        <v>-60</v>
      </c>
      <c r="E27" s="1">
        <f t="shared" si="1"/>
        <v>33.341999999999999</v>
      </c>
      <c r="F27">
        <v>-284</v>
      </c>
      <c r="G27" s="1">
        <f t="shared" si="2"/>
        <v>33.118000000000002</v>
      </c>
      <c r="H27">
        <v>300</v>
      </c>
      <c r="I27" s="1">
        <f t="shared" si="3"/>
        <v>33.701999999999998</v>
      </c>
      <c r="J27">
        <v>0</v>
      </c>
      <c r="K27" s="1">
        <f t="shared" si="4"/>
        <v>33.118000000000002</v>
      </c>
      <c r="L27" s="1">
        <f t="shared" si="5"/>
        <v>31.67</v>
      </c>
      <c r="M27">
        <v>600</v>
      </c>
      <c r="N27">
        <v>0</v>
      </c>
      <c r="O27" s="1">
        <f t="shared" si="6"/>
        <v>32.270000000000003</v>
      </c>
      <c r="P27" s="1">
        <f t="shared" si="7"/>
        <v>3.464</v>
      </c>
      <c r="Q27" s="1">
        <f>A27-S27</f>
        <v>33.545999999999999</v>
      </c>
      <c r="R27" s="1">
        <f t="shared" si="8"/>
        <v>35.5</v>
      </c>
      <c r="S27" s="1">
        <f t="shared" si="9"/>
        <v>2.4540000000000002</v>
      </c>
      <c r="T27" s="1">
        <f t="shared" si="10"/>
        <v>1.954</v>
      </c>
      <c r="U27" s="1">
        <f t="shared" si="11"/>
        <v>0.57699999999999996</v>
      </c>
      <c r="V27" s="1">
        <f t="shared" si="12"/>
        <v>2.8340000000000001</v>
      </c>
      <c r="W27">
        <f t="shared" si="13"/>
        <v>2.2559999999999998</v>
      </c>
    </row>
    <row r="28" spans="1:23" x14ac:dyDescent="0.25">
      <c r="A28" s="2">
        <v>39</v>
      </c>
      <c r="B28">
        <v>4</v>
      </c>
      <c r="C28" s="1">
        <f t="shared" si="0"/>
        <v>36.402000000000001</v>
      </c>
      <c r="D28">
        <v>-60</v>
      </c>
      <c r="E28" s="1">
        <f t="shared" si="1"/>
        <v>36.341999999999999</v>
      </c>
      <c r="F28">
        <v>-284</v>
      </c>
      <c r="G28" s="1">
        <f t="shared" si="2"/>
        <v>36.118000000000002</v>
      </c>
      <c r="H28">
        <v>300</v>
      </c>
      <c r="I28" s="1">
        <f t="shared" si="3"/>
        <v>36.701999999999998</v>
      </c>
      <c r="J28">
        <v>0</v>
      </c>
      <c r="K28" s="1">
        <f t="shared" si="4"/>
        <v>36.118000000000002</v>
      </c>
      <c r="L28" s="1">
        <f t="shared" si="5"/>
        <v>34.67</v>
      </c>
      <c r="M28">
        <v>600</v>
      </c>
      <c r="N28">
        <v>0</v>
      </c>
      <c r="O28" s="1">
        <f t="shared" si="6"/>
        <v>35.270000000000003</v>
      </c>
      <c r="P28" s="1">
        <f t="shared" si="7"/>
        <v>3.464</v>
      </c>
      <c r="Q28" s="1">
        <f>A28-S28</f>
        <v>36.545999999999999</v>
      </c>
      <c r="R28" s="1">
        <f t="shared" si="8"/>
        <v>38.5</v>
      </c>
      <c r="S28" s="1">
        <f t="shared" si="9"/>
        <v>2.4540000000000002</v>
      </c>
      <c r="T28" s="1">
        <f t="shared" si="10"/>
        <v>1.954</v>
      </c>
      <c r="U28" s="1">
        <f t="shared" si="11"/>
        <v>0.57699999999999996</v>
      </c>
      <c r="V28" s="1">
        <f t="shared" si="12"/>
        <v>2.8340000000000001</v>
      </c>
      <c r="W28">
        <f t="shared" si="13"/>
        <v>2.2559999999999998</v>
      </c>
    </row>
    <row r="29" spans="1:23" x14ac:dyDescent="0.25">
      <c r="A29">
        <v>42</v>
      </c>
      <c r="B29">
        <v>4.5</v>
      </c>
      <c r="C29" s="1">
        <f t="shared" si="0"/>
        <v>39.076999999999998</v>
      </c>
      <c r="D29">
        <v>-63</v>
      </c>
      <c r="E29" s="1">
        <f t="shared" si="1"/>
        <v>39.013999999999996</v>
      </c>
      <c r="F29">
        <v>-299</v>
      </c>
      <c r="G29" s="1">
        <f t="shared" si="2"/>
        <v>38.777999999999999</v>
      </c>
      <c r="H29">
        <v>315</v>
      </c>
      <c r="I29" s="1">
        <f t="shared" si="3"/>
        <v>39.391999999999996</v>
      </c>
      <c r="J29">
        <v>0</v>
      </c>
      <c r="K29" s="1">
        <f t="shared" si="4"/>
        <v>38.777999999999999</v>
      </c>
      <c r="L29" s="1">
        <f t="shared" si="5"/>
        <v>37.128999999999998</v>
      </c>
      <c r="M29">
        <v>670</v>
      </c>
      <c r="N29">
        <v>0</v>
      </c>
      <c r="O29" s="1">
        <f t="shared" si="6"/>
        <v>37.798999999999999</v>
      </c>
      <c r="P29" s="1">
        <f t="shared" si="7"/>
        <v>3.8969999999999998</v>
      </c>
      <c r="Q29" s="1">
        <f>A29-S29</f>
        <v>39.24</v>
      </c>
      <c r="R29" s="1">
        <f t="shared" si="8"/>
        <v>41.4375</v>
      </c>
      <c r="S29" s="1">
        <f t="shared" si="9"/>
        <v>2.76</v>
      </c>
      <c r="T29" s="1">
        <f t="shared" si="10"/>
        <v>2.198</v>
      </c>
      <c r="U29" s="1">
        <f t="shared" si="11"/>
        <v>0.64900000000000002</v>
      </c>
      <c r="V29" s="1">
        <f t="shared" si="12"/>
        <v>3.1869999999999998</v>
      </c>
      <c r="W29">
        <f t="shared" si="13"/>
        <v>2.5379999999999998</v>
      </c>
    </row>
    <row r="30" spans="1:23" x14ac:dyDescent="0.25">
      <c r="A30" s="2">
        <v>45</v>
      </c>
      <c r="B30">
        <v>4.5</v>
      </c>
      <c r="C30" s="1">
        <f t="shared" si="0"/>
        <v>42.076999999999998</v>
      </c>
      <c r="D30">
        <v>-63</v>
      </c>
      <c r="E30" s="1">
        <f t="shared" si="1"/>
        <v>42.013999999999996</v>
      </c>
      <c r="F30">
        <v>-299</v>
      </c>
      <c r="G30" s="1">
        <f t="shared" si="2"/>
        <v>41.777999999999999</v>
      </c>
      <c r="H30">
        <v>315</v>
      </c>
      <c r="I30" s="1">
        <f t="shared" si="3"/>
        <v>42.391999999999996</v>
      </c>
      <c r="J30">
        <v>0</v>
      </c>
      <c r="K30" s="1">
        <f t="shared" si="4"/>
        <v>41.777999999999999</v>
      </c>
      <c r="L30" s="1">
        <f t="shared" si="5"/>
        <v>40.128999999999998</v>
      </c>
      <c r="M30">
        <v>670</v>
      </c>
      <c r="N30">
        <v>0</v>
      </c>
      <c r="O30" s="1">
        <f t="shared" si="6"/>
        <v>40.798999999999999</v>
      </c>
      <c r="P30" s="1">
        <f t="shared" si="7"/>
        <v>3.8969999999999998</v>
      </c>
      <c r="Q30" s="1">
        <f>A30-S30</f>
        <v>42.24</v>
      </c>
      <c r="R30" s="1">
        <f t="shared" si="8"/>
        <v>44.4375</v>
      </c>
      <c r="S30" s="1">
        <f t="shared" si="9"/>
        <v>2.76</v>
      </c>
      <c r="T30" s="1">
        <f t="shared" si="10"/>
        <v>2.198</v>
      </c>
      <c r="U30" s="1">
        <f t="shared" si="11"/>
        <v>0.64900000000000002</v>
      </c>
      <c r="V30" s="1">
        <f t="shared" si="12"/>
        <v>3.1869999999999998</v>
      </c>
      <c r="W30">
        <f t="shared" si="13"/>
        <v>2.5379999999999998</v>
      </c>
    </row>
    <row r="31" spans="1:23" x14ac:dyDescent="0.25">
      <c r="A31">
        <v>48</v>
      </c>
      <c r="B31">
        <v>5</v>
      </c>
      <c r="C31" s="1">
        <f t="shared" si="0"/>
        <v>44.753</v>
      </c>
      <c r="D31">
        <v>-72</v>
      </c>
      <c r="E31" s="1">
        <f t="shared" si="1"/>
        <v>44.680999999999997</v>
      </c>
      <c r="F31">
        <v>-322</v>
      </c>
      <c r="G31" s="1">
        <f t="shared" si="2"/>
        <v>44.430999999999997</v>
      </c>
      <c r="H31">
        <v>334</v>
      </c>
      <c r="I31" s="1">
        <f t="shared" si="3"/>
        <v>45.087000000000003</v>
      </c>
      <c r="J31">
        <v>0</v>
      </c>
      <c r="K31" s="1">
        <f t="shared" si="4"/>
        <v>44.430999999999997</v>
      </c>
      <c r="L31" s="1">
        <f t="shared" si="5"/>
        <v>42.588000000000001</v>
      </c>
      <c r="M31">
        <v>710</v>
      </c>
      <c r="N31">
        <v>0</v>
      </c>
      <c r="O31" s="1">
        <f t="shared" si="6"/>
        <v>43.298000000000002</v>
      </c>
      <c r="P31" s="1">
        <f t="shared" si="7"/>
        <v>4.33</v>
      </c>
      <c r="Q31" s="1">
        <f>A31-S31</f>
        <v>44.933</v>
      </c>
      <c r="R31" s="1">
        <f t="shared" si="8"/>
        <v>47.375</v>
      </c>
      <c r="S31" s="1">
        <f t="shared" si="9"/>
        <v>3.0670000000000002</v>
      </c>
      <c r="T31" s="1">
        <f t="shared" si="10"/>
        <v>2.4420000000000002</v>
      </c>
      <c r="U31" s="1">
        <f t="shared" si="11"/>
        <v>0.72199999999999998</v>
      </c>
      <c r="V31" s="1">
        <f t="shared" si="12"/>
        <v>3.5409999999999999</v>
      </c>
      <c r="W31">
        <f t="shared" si="13"/>
        <v>2.82</v>
      </c>
    </row>
    <row r="32" spans="1:23" x14ac:dyDescent="0.25">
      <c r="A32" s="2">
        <v>52</v>
      </c>
      <c r="B32">
        <v>5</v>
      </c>
      <c r="C32" s="1">
        <f t="shared" si="0"/>
        <v>48.753</v>
      </c>
      <c r="D32">
        <v>-72</v>
      </c>
      <c r="E32" s="1">
        <f t="shared" si="1"/>
        <v>48.680999999999997</v>
      </c>
      <c r="F32">
        <v>-322</v>
      </c>
      <c r="G32" s="1">
        <f t="shared" si="2"/>
        <v>48.430999999999997</v>
      </c>
      <c r="H32">
        <v>334</v>
      </c>
      <c r="I32" s="1">
        <f t="shared" si="3"/>
        <v>49.087000000000003</v>
      </c>
      <c r="J32">
        <v>0</v>
      </c>
      <c r="K32" s="1">
        <f t="shared" si="4"/>
        <v>48.430999999999997</v>
      </c>
      <c r="L32" s="1">
        <f t="shared" si="5"/>
        <v>46.588000000000001</v>
      </c>
      <c r="M32">
        <v>710</v>
      </c>
      <c r="N32">
        <v>0</v>
      </c>
      <c r="O32" s="1">
        <f t="shared" si="6"/>
        <v>47.298000000000002</v>
      </c>
      <c r="P32" s="1">
        <f t="shared" si="7"/>
        <v>4.33</v>
      </c>
      <c r="Q32" s="1">
        <f>A32-S32</f>
        <v>48.933</v>
      </c>
      <c r="R32" s="1">
        <f t="shared" si="8"/>
        <v>51.375</v>
      </c>
      <c r="S32" s="1">
        <f t="shared" si="9"/>
        <v>3.0670000000000002</v>
      </c>
      <c r="T32" s="1">
        <f t="shared" si="10"/>
        <v>2.4420000000000002</v>
      </c>
      <c r="U32" s="1">
        <f t="shared" si="11"/>
        <v>0.72199999999999998</v>
      </c>
      <c r="V32" s="1">
        <f t="shared" si="12"/>
        <v>3.5409999999999999</v>
      </c>
      <c r="W32">
        <f t="shared" si="13"/>
        <v>2.82</v>
      </c>
    </row>
    <row r="33" spans="1:23" x14ac:dyDescent="0.25">
      <c r="A33">
        <v>56</v>
      </c>
      <c r="B33">
        <v>5.5</v>
      </c>
      <c r="C33" s="1">
        <f t="shared" si="0"/>
        <v>52.427999999999997</v>
      </c>
      <c r="D33">
        <v>-75</v>
      </c>
      <c r="E33" s="1">
        <f t="shared" si="1"/>
        <v>52.352999999999994</v>
      </c>
      <c r="F33">
        <v>-240</v>
      </c>
      <c r="G33" s="1">
        <f t="shared" si="2"/>
        <v>52.187999999999995</v>
      </c>
      <c r="H33">
        <v>355</v>
      </c>
      <c r="I33" s="1">
        <f t="shared" si="3"/>
        <v>52.782999999999994</v>
      </c>
      <c r="J33">
        <v>0</v>
      </c>
      <c r="K33" s="1">
        <f t="shared" si="4"/>
        <v>52.187999999999995</v>
      </c>
      <c r="L33" s="1">
        <f t="shared" si="5"/>
        <v>50.045999999999999</v>
      </c>
      <c r="M33">
        <v>750</v>
      </c>
      <c r="N33">
        <v>0</v>
      </c>
      <c r="O33" s="1">
        <f t="shared" si="6"/>
        <v>50.795999999999999</v>
      </c>
      <c r="P33" s="1">
        <f t="shared" si="7"/>
        <v>4.7629999999999999</v>
      </c>
      <c r="Q33" s="1">
        <f>A33-S33</f>
        <v>52.625999999999998</v>
      </c>
      <c r="R33" s="1">
        <f t="shared" si="8"/>
        <v>55.3125</v>
      </c>
      <c r="S33" s="1">
        <f t="shared" si="9"/>
        <v>3.3740000000000001</v>
      </c>
      <c r="T33" s="1">
        <f t="shared" si="10"/>
        <v>2.6869999999999998</v>
      </c>
      <c r="U33" s="1">
        <f t="shared" si="11"/>
        <v>0.79400000000000004</v>
      </c>
      <c r="V33" s="1">
        <f t="shared" si="12"/>
        <v>3.8959999999999999</v>
      </c>
      <c r="W33">
        <f t="shared" si="13"/>
        <v>3.1030000000000002</v>
      </c>
    </row>
    <row r="34" spans="1:23" x14ac:dyDescent="0.25">
      <c r="A34" s="2">
        <v>60</v>
      </c>
      <c r="B34">
        <v>5.5</v>
      </c>
      <c r="C34" s="1">
        <f t="shared" si="0"/>
        <v>56.427999999999997</v>
      </c>
      <c r="D34">
        <v>-75</v>
      </c>
      <c r="E34" s="1">
        <f t="shared" si="1"/>
        <v>56.352999999999994</v>
      </c>
      <c r="F34">
        <v>-240</v>
      </c>
      <c r="G34" s="1">
        <f t="shared" si="2"/>
        <v>56.187999999999995</v>
      </c>
      <c r="H34">
        <v>355</v>
      </c>
      <c r="I34" s="1">
        <f t="shared" si="3"/>
        <v>56.782999999999994</v>
      </c>
      <c r="J34">
        <v>0</v>
      </c>
      <c r="K34" s="1">
        <f t="shared" si="4"/>
        <v>56.187999999999995</v>
      </c>
      <c r="L34" s="1">
        <f t="shared" si="5"/>
        <v>54.045999999999999</v>
      </c>
      <c r="M34">
        <v>750</v>
      </c>
      <c r="N34">
        <v>0</v>
      </c>
      <c r="O34" s="1">
        <f t="shared" si="6"/>
        <v>54.795999999999999</v>
      </c>
      <c r="P34" s="1">
        <f t="shared" si="7"/>
        <v>4.7629999999999999</v>
      </c>
      <c r="Q34" s="1">
        <f>A34-S34</f>
        <v>56.625999999999998</v>
      </c>
      <c r="R34" s="1">
        <f t="shared" si="8"/>
        <v>59.3125</v>
      </c>
      <c r="S34" s="1">
        <f t="shared" si="9"/>
        <v>3.3740000000000001</v>
      </c>
      <c r="T34" s="1">
        <f t="shared" si="10"/>
        <v>2.6869999999999998</v>
      </c>
      <c r="U34" s="1">
        <f t="shared" si="11"/>
        <v>0.79400000000000004</v>
      </c>
      <c r="V34" s="1">
        <f t="shared" si="12"/>
        <v>3.8959999999999999</v>
      </c>
      <c r="W34">
        <f t="shared" si="13"/>
        <v>3.1030000000000002</v>
      </c>
    </row>
    <row r="35" spans="1:23" x14ac:dyDescent="0.25">
      <c r="A35">
        <v>64</v>
      </c>
      <c r="B35">
        <v>6</v>
      </c>
      <c r="C35" s="1">
        <f t="shared" si="0"/>
        <v>60.103000000000002</v>
      </c>
      <c r="D35">
        <v>-80</v>
      </c>
      <c r="E35" s="1">
        <f t="shared" si="1"/>
        <v>60.023000000000003</v>
      </c>
      <c r="F35">
        <v>-360</v>
      </c>
      <c r="G35" s="1">
        <f t="shared" si="2"/>
        <v>59.743000000000002</v>
      </c>
      <c r="H35">
        <v>375</v>
      </c>
      <c r="I35" s="1">
        <f t="shared" si="3"/>
        <v>60.478000000000002</v>
      </c>
      <c r="J35">
        <v>0</v>
      </c>
      <c r="K35" s="1">
        <f t="shared" si="4"/>
        <v>59.743000000000002</v>
      </c>
      <c r="L35" s="1">
        <f t="shared" si="5"/>
        <v>57.505000000000003</v>
      </c>
      <c r="M35">
        <v>800</v>
      </c>
      <c r="N35">
        <v>0</v>
      </c>
      <c r="O35" s="1">
        <f t="shared" si="6"/>
        <v>58.305</v>
      </c>
      <c r="P35" s="1">
        <f t="shared" si="7"/>
        <v>5.1959999999999997</v>
      </c>
      <c r="Q35" s="1">
        <f>A35-S35</f>
        <v>60.32</v>
      </c>
      <c r="R35" s="1">
        <f t="shared" si="8"/>
        <v>63.25</v>
      </c>
      <c r="S35" s="1">
        <f t="shared" si="9"/>
        <v>3.68</v>
      </c>
      <c r="T35" s="1">
        <f t="shared" si="10"/>
        <v>2.93</v>
      </c>
      <c r="U35" s="1">
        <f t="shared" si="11"/>
        <v>0.86599999999999999</v>
      </c>
      <c r="V35" s="1">
        <f t="shared" si="12"/>
        <v>4.2489999999999997</v>
      </c>
      <c r="W35">
        <f t="shared" si="13"/>
        <v>3.383</v>
      </c>
    </row>
    <row r="36" spans="1:23" x14ac:dyDescent="0.25">
      <c r="A36">
        <v>15.875</v>
      </c>
      <c r="B36">
        <f>25.4/18</f>
        <v>1.411111111111111</v>
      </c>
      <c r="C36" s="1">
        <f t="shared" ref="C36" si="14">ROUND(A36-0.6495*B36,3)</f>
        <v>14.958</v>
      </c>
      <c r="D36">
        <v>-38</v>
      </c>
      <c r="E36" s="1">
        <f t="shared" ref="E36" si="15">C36+D36/1000</f>
        <v>14.92</v>
      </c>
      <c r="F36">
        <v>-198</v>
      </c>
      <c r="G36" s="1">
        <f t="shared" ref="G36" si="16">C36+F36/1000</f>
        <v>14.76</v>
      </c>
      <c r="H36">
        <v>212</v>
      </c>
      <c r="I36" s="1">
        <f t="shared" ref="I36" si="17">C36+H36/1000</f>
        <v>15.17</v>
      </c>
      <c r="J36">
        <v>0</v>
      </c>
      <c r="K36" s="1">
        <f t="shared" ref="K36" si="18">G36+J36/1000</f>
        <v>14.76</v>
      </c>
      <c r="L36" s="1">
        <f t="shared" ref="L36" si="19">ROUND(A36-1.0825*B36,3)</f>
        <v>14.347</v>
      </c>
      <c r="M36">
        <v>375</v>
      </c>
      <c r="N36">
        <v>0</v>
      </c>
      <c r="O36" s="1">
        <f t="shared" ref="O36" si="20">L36+M36/1000</f>
        <v>14.722</v>
      </c>
      <c r="P36" s="1">
        <f t="shared" ref="P36" si="21">ROUND(0.866*B36,3)</f>
        <v>1.222</v>
      </c>
      <c r="Q36" s="1">
        <f>A36-S36</f>
        <v>15.009</v>
      </c>
      <c r="R36" s="1">
        <f t="shared" ref="R36" si="22">A36-B36/8</f>
        <v>15.698611111111111</v>
      </c>
      <c r="S36" s="1">
        <f t="shared" ref="S36" si="23">ROUND(B36*1.2268/2,3)</f>
        <v>0.86599999999999999</v>
      </c>
      <c r="T36" s="1">
        <f t="shared" ref="T36" si="24">ROUND(S36-(A36-R36),3)</f>
        <v>0.69</v>
      </c>
      <c r="U36" s="1">
        <f t="shared" ref="U36" si="25">ROUND(0.1443*B36,3)</f>
        <v>0.20399999999999999</v>
      </c>
      <c r="V36" s="1">
        <f t="shared" ref="V36" si="26">ROUND(S36/COS(PI()/6),3)</f>
        <v>1</v>
      </c>
      <c r="W36">
        <f t="shared" ref="W36" si="27">ROUND(T36/COS(PI()/6),3)</f>
        <v>0.79700000000000004</v>
      </c>
    </row>
    <row r="37" spans="1:23" x14ac:dyDescent="0.25">
      <c r="P37" s="1"/>
      <c r="Q37" s="1"/>
      <c r="R37" s="1"/>
    </row>
    <row r="38" spans="1:23" x14ac:dyDescent="0.25">
      <c r="A38" s="2" t="s">
        <v>10</v>
      </c>
    </row>
  </sheetData>
  <mergeCells count="4">
    <mergeCell ref="D6:G6"/>
    <mergeCell ref="H6:K6"/>
    <mergeCell ref="L6:O6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SONEPAR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VANDEN BUSSCHE Eric</dc:creator>
  <cp:lastModifiedBy>VANDEN BUSSCHE Eric</cp:lastModifiedBy>
  <dcterms:created xsi:type="dcterms:W3CDTF">2024-07-01T16:02:48Z</dcterms:created>
  <dcterms:modified xsi:type="dcterms:W3CDTF">2025-01-24T15:49:52Z</dcterms:modified>
</cp:coreProperties>
</file>